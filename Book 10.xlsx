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hidePivotFieldList="1" defaultThemeVersion="166925"/>
  <xr:revisionPtr revIDLastSave="0" documentId="8_{AE9521C4-A3EA-49D5-B899-9E85AFF226EE}" xr6:coauthVersionLast="47" xr6:coauthVersionMax="47" xr10:uidLastSave="{00000000-0000-0000-0000-000000000000}"/>
  <bookViews>
    <workbookView xWindow="240" yWindow="105" windowWidth="14805" windowHeight="8010" activeTab="3" xr2:uid="{00000000-000D-0000-FFFF-FFFF00000000}"/>
  </bookViews>
  <sheets>
    <sheet name="Feuil2" sheetId="2" r:id="rId1"/>
    <sheet name="Feuil3" sheetId="3" r:id="rId2"/>
    <sheet name="Feuil1" sheetId="1" r:id="rId3"/>
    <sheet name="Dashboard" sheetId="4" r:id="rId4"/>
  </sheets>
  <calcPr calcId="191028"/>
  <pivotCaches>
    <pivotCache cacheId="7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</calcChain>
</file>

<file path=xl/sharedStrings.xml><?xml version="1.0" encoding="utf-8"?>
<sst xmlns="http://schemas.openxmlformats.org/spreadsheetml/2006/main" count="76" uniqueCount="40">
  <si>
    <t>CATEGORY</t>
  </si>
  <si>
    <t>Somme de SALES</t>
  </si>
  <si>
    <t>Somme de PROFIT</t>
  </si>
  <si>
    <t>clothing</t>
  </si>
  <si>
    <t>Electronics</t>
  </si>
  <si>
    <t>Furniture</t>
  </si>
  <si>
    <t>Home</t>
  </si>
  <si>
    <t>Total général</t>
  </si>
  <si>
    <t>SHIPPING METHOD</t>
  </si>
  <si>
    <t>Moyenne de PROFIT MARGIN%</t>
  </si>
  <si>
    <t>Express</t>
  </si>
  <si>
    <t>Same-day</t>
  </si>
  <si>
    <t>Standard</t>
  </si>
  <si>
    <t>ORDER ID</t>
  </si>
  <si>
    <t>DATE</t>
  </si>
  <si>
    <t>REGION</t>
  </si>
  <si>
    <t>SALES</t>
  </si>
  <si>
    <t>COST</t>
  </si>
  <si>
    <t>CUSTOMER SEGMENT</t>
  </si>
  <si>
    <t>PROFIT</t>
  </si>
  <si>
    <t>PROFIT MARGIN%</t>
  </si>
  <si>
    <t>MONTH</t>
  </si>
  <si>
    <t>ORD-101</t>
  </si>
  <si>
    <t>North America</t>
  </si>
  <si>
    <t>Corporate</t>
  </si>
  <si>
    <t>ORD-102</t>
  </si>
  <si>
    <t>Europe</t>
  </si>
  <si>
    <t>Consumer</t>
  </si>
  <si>
    <t>ORD-103</t>
  </si>
  <si>
    <t>Asia</t>
  </si>
  <si>
    <t>ORD-104</t>
  </si>
  <si>
    <t>Home Office</t>
  </si>
  <si>
    <t>ORD-105</t>
  </si>
  <si>
    <t>ORD-106</t>
  </si>
  <si>
    <t>standard</t>
  </si>
  <si>
    <t>ORD-107</t>
  </si>
  <si>
    <t>ORD-108</t>
  </si>
  <si>
    <t>ORD-109</t>
  </si>
  <si>
    <t>ORD-110</t>
  </si>
  <si>
    <t xml:space="preserve"> E-COMMERCE SALES &amp; PROFITABILITY DASHBOARD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</si>
</sst>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0" borderId="0" xfId="0" applyNumberFormat="1" applyFont="1" applyAlignment="1">
      <alignment vertical="center" wrapText="1"/>
    </xf>
    <xf numFmtId="0" fontId="0" fillId="0" borderId="0" xfId="0" pivotButton="1"/>
    <xf numFmtId="0" fontId="0" fillId="0" borderId="0" xfId="0" applyNumberForma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10.xlsx]Feuil2!Tableau croisé dynamique1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F4E78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F4E78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Feuil2!$B$3</c:f>
              <c:strCache>
                <c:ptCount val="1"/>
                <c:pt idx="0">
                  <c:v>Somme de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Feuil2!$A$4:$A$8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Home</c:v>
                </c:pt>
              </c:strCache>
            </c:strRef>
          </c:cat>
          <c:val>
            <c:numRef>
              <c:f>Feuil2!$B$4:$B$8</c:f>
              <c:numCache>
                <c:formatCode>General</c:formatCode>
                <c:ptCount val="4"/>
                <c:pt idx="0">
                  <c:v>1850</c:v>
                </c:pt>
                <c:pt idx="1">
                  <c:v>6400</c:v>
                </c:pt>
                <c:pt idx="2">
                  <c:v>2250</c:v>
                </c:pt>
                <c:pt idx="3">
                  <c:v>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05-4954-B445-854C74D54D4D}"/>
            </c:ext>
          </c:extLst>
        </c:ser>
        <c:ser>
          <c:idx val="1"/>
          <c:order val="1"/>
          <c:tx>
            <c:strRef>
              <c:f>Feuil2!$C$3</c:f>
              <c:strCache>
                <c:ptCount val="1"/>
                <c:pt idx="0">
                  <c:v>Somme de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Feuil2!$A$4:$A$8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Home</c:v>
                </c:pt>
              </c:strCache>
            </c:strRef>
          </c:cat>
          <c:val>
            <c:numRef>
              <c:f>Feuil2!$C$4:$C$8</c:f>
              <c:numCache>
                <c:formatCode>General</c:formatCode>
                <c:ptCount val="4"/>
                <c:pt idx="0">
                  <c:v>1080</c:v>
                </c:pt>
                <c:pt idx="1">
                  <c:v>2100</c:v>
                </c:pt>
                <c:pt idx="2">
                  <c:v>550</c:v>
                </c:pt>
                <c:pt idx="3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05-4954-B445-854C74D54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44967"/>
        <c:axId val="3947015"/>
      </c:barChart>
      <c:catAx>
        <c:axId val="394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7015"/>
        <c:crosses val="autoZero"/>
        <c:auto val="1"/>
        <c:lblAlgn val="ctr"/>
        <c:lblOffset val="100"/>
        <c:noMultiLvlLbl val="0"/>
      </c:catAx>
      <c:valAx>
        <c:axId val="3947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4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10.xlsx]Feuil3!Tableau croisé dynamique2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2037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PROFIT MARGIN % BY SHIPPING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20376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Feuil3!$B$3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0FC-4866-9D73-6417971620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0FC-4866-9D73-64179716200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0FC-4866-9D73-64179716200A}"/>
              </c:ext>
            </c:extLst>
          </c:dPt>
          <c:cat>
            <c:strRef>
              <c:f>Feuil3!$A$4:$A$7</c:f>
              <c:strCache>
                <c:ptCount val="3"/>
                <c:pt idx="0">
                  <c:v>Express</c:v>
                </c:pt>
                <c:pt idx="1">
                  <c:v>Same-day</c:v>
                </c:pt>
                <c:pt idx="2">
                  <c:v>Standard</c:v>
                </c:pt>
              </c:strCache>
            </c:strRef>
          </c:cat>
          <c:val>
            <c:numRef>
              <c:f>Feuil3!$B$4:$B$7</c:f>
              <c:numCache>
                <c:formatCode>General</c:formatCode>
                <c:ptCount val="3"/>
                <c:pt idx="0">
                  <c:v>0.35307017543859653</c:v>
                </c:pt>
                <c:pt idx="1">
                  <c:v>0.32447817836812143</c:v>
                </c:pt>
                <c:pt idx="2">
                  <c:v>0.51666666666666661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FC-4866-9D73-641797162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2</xdr:row>
      <xdr:rowOff>180975</xdr:rowOff>
    </xdr:from>
    <xdr:to>
      <xdr:col>9</xdr:col>
      <xdr:colOff>95250</xdr:colOff>
      <xdr:row>18</xdr:row>
      <xdr:rowOff>171450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8708488-0B80-C883-B897-E29F805730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333375</xdr:colOff>
      <xdr:row>2</xdr:row>
      <xdr:rowOff>152400</xdr:rowOff>
    </xdr:from>
    <xdr:to>
      <xdr:col>18</xdr:col>
      <xdr:colOff>66675</xdr:colOff>
      <xdr:row>19</xdr:row>
      <xdr:rowOff>57150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B1B2ED0-7CFE-7211-BB59-7201F6E4284C}"/>
            </a:ext>
            <a:ext uri="{147F2762-F138-4A5C-976F-8EAC2B608ADB}">
              <a16:predDERef xmlns:a16="http://schemas.microsoft.com/office/drawing/2014/main" pred="{88708488-0B80-C883-B897-E29F805730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2.897282638885" createdVersion="8" refreshedVersion="8" minRefreshableVersion="3" recordCount="10" xr:uid="{8B2F3C90-08D1-4851-BA39-E77B523C6CC9}">
  <cacheSource type="worksheet">
    <worksheetSource ref="A1:K11" sheet="Feuil1"/>
  </cacheSource>
  <cacheFields count="11">
    <cacheField name="ORDER ID" numFmtId="0">
      <sharedItems/>
    </cacheField>
    <cacheField name="DATE" numFmtId="14">
      <sharedItems containsSemiMixedTypes="0" containsNonDate="0" containsDate="1" containsString="0" minDate="2026-01-05T00:00:00" maxDate="2026-03-12T00:00:00"/>
    </cacheField>
    <cacheField name="REGION" numFmtId="0">
      <sharedItems/>
    </cacheField>
    <cacheField name="CATEGORY" numFmtId="0">
      <sharedItems count="4">
        <s v="Electronics"/>
        <s v="clothing"/>
        <s v="Home"/>
        <s v="Furniture"/>
      </sharedItems>
    </cacheField>
    <cacheField name="SALES" numFmtId="0">
      <sharedItems containsSemiMixedTypes="0" containsString="0" containsNumber="1" containsInteger="1" minValue="200" maxValue="3100"/>
    </cacheField>
    <cacheField name="COST" numFmtId="0">
      <sharedItems containsSemiMixedTypes="0" containsString="0" containsNumber="1" containsInteger="1" minValue="90" maxValue="2000"/>
    </cacheField>
    <cacheField name="SHIPPING METHOD" numFmtId="0">
      <sharedItems count="3">
        <s v="Express"/>
        <s v="Standard"/>
        <s v="Same-day"/>
      </sharedItems>
    </cacheField>
    <cacheField name="CUSTOMER SEGMENT" numFmtId="0">
      <sharedItems/>
    </cacheField>
    <cacheField name="PROFIT" numFmtId="0">
      <sharedItems containsSemiMixedTypes="0" containsString="0" containsNumber="1" containsInteger="1" minValue="110" maxValue="1100"/>
    </cacheField>
    <cacheField name="PROFIT MARGIN%" numFmtId="0">
      <sharedItems containsSemiMixedTypes="0" containsString="0" containsNumber="1" minValue="0.21428571428571427" maxValue="0.6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ORD-101"/>
    <d v="2026-01-05T00:00:00"/>
    <s v="North America"/>
    <x v="0"/>
    <n v="1200"/>
    <n v="800"/>
    <x v="0"/>
    <s v="Corporate"/>
    <n v="400"/>
    <n v="0.33333333333333331"/>
    <s v="janv"/>
  </r>
  <r>
    <s v="ORD-102"/>
    <d v="2026-01-07T00:00:00"/>
    <s v="Europe"/>
    <x v="1"/>
    <n v="300"/>
    <n v="120"/>
    <x v="1"/>
    <s v="Consumer"/>
    <n v="180"/>
    <n v="0.6"/>
    <s v="janv"/>
  </r>
  <r>
    <s v="ORD-103"/>
    <d v="2026-01-12T00:00:00"/>
    <s v="Asia"/>
    <x v="2"/>
    <n v="450"/>
    <n v="300"/>
    <x v="1"/>
    <s v="Corporate"/>
    <n v="150"/>
    <n v="0.33333333333333331"/>
    <s v="janv"/>
  </r>
  <r>
    <s v="ORD-104"/>
    <d v="2026-01-15T00:00:00"/>
    <s v="Europe"/>
    <x v="0"/>
    <n v="2100"/>
    <n v="1500"/>
    <x v="0"/>
    <s v="Home Office"/>
    <n v="600"/>
    <n v="0.2857142857142857"/>
    <s v="janv"/>
  </r>
  <r>
    <s v="ORD-105"/>
    <d v="2026-02-01T00:00:00"/>
    <s v="North America"/>
    <x v="3"/>
    <n v="850"/>
    <n v="600"/>
    <x v="2"/>
    <s v="Consumer"/>
    <n v="250"/>
    <n v="0.29411764705882354"/>
    <s v="févr"/>
  </r>
  <r>
    <s v="ORD-106"/>
    <d v="2026-02-10T00:00:00"/>
    <s v="Asia"/>
    <x v="1"/>
    <n v="600"/>
    <n v="250"/>
    <x v="1"/>
    <s v="Consumer"/>
    <n v="350"/>
    <n v="0.58333333333333337"/>
    <s v="févr"/>
  </r>
  <r>
    <s v="ORD-107"/>
    <d v="2026-02-14T00:00:00"/>
    <s v="Europe"/>
    <x v="3"/>
    <n v="1400"/>
    <n v="1100"/>
    <x v="0"/>
    <s v="Corporate"/>
    <n v="300"/>
    <n v="0.21428571428571427"/>
    <s v="févr"/>
  </r>
  <r>
    <s v="ORD-108"/>
    <d v="2026-02-20T00:00:00"/>
    <s v="North America"/>
    <x v="0"/>
    <n v="3100"/>
    <n v="2000"/>
    <x v="2"/>
    <s v="Home Office"/>
    <n v="1100"/>
    <n v="0.35483870967741937"/>
    <s v="févr"/>
  </r>
  <r>
    <s v="ORD-109"/>
    <d v="2026-03-02T00:00:00"/>
    <s v="Asia"/>
    <x v="2"/>
    <n v="200"/>
    <n v="90"/>
    <x v="1"/>
    <s v="Consumer"/>
    <n v="110"/>
    <n v="0.55000000000000004"/>
    <s v="mars"/>
  </r>
  <r>
    <s v="ORD-110"/>
    <d v="2026-03-11T00:00:00"/>
    <s v="Europe"/>
    <x v="1"/>
    <n v="950"/>
    <n v="400"/>
    <x v="0"/>
    <s v="Consumer"/>
    <n v="550"/>
    <n v="0.57894736842105265"/>
    <s v="mar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210E76-6EB1-4F7B-B644-1A808A850F87}" name="Tableau croisé dynamique1" cacheId="7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 chartFormat="5">
  <location ref="A3:C8" firstHeaderRow="0" firstDataRow="1" firstDataCol="1"/>
  <pivotFields count="11">
    <pivotField compact="0" outline="0" showAll="0"/>
    <pivotField compact="0" numFmtId="14" outline="0" showAll="0"/>
    <pivotField compact="0" outline="0" showAll="0"/>
    <pivotField axis="axisRow" compact="0" outline="0" showAll="0">
      <items count="5">
        <item x="1"/>
        <item x="0"/>
        <item x="3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SALES" fld="4" baseField="0" baseItem="0"/>
    <dataField name="Somme de PROFIT" fld="8" baseField="0" baseItem="0"/>
  </dataFields>
  <chartFormats count="8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A82BC-DA50-4BA5-A579-19FE7752C6E7}" name="Tableau croisé dynamique2" cacheId="7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11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oyenne de PROFIT MARGIN%" fld="9" subtotal="average" baseField="0" baseItem="0"/>
  </dataFields>
  <chartFormats count="1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EEEB4-5F4F-47AB-B196-2FD46AB1F306}">
  <dimension ref="A3:C8"/>
  <sheetViews>
    <sheetView workbookViewId="0">
      <selection activeCell="F21" sqref="F21"/>
    </sheetView>
  </sheetViews>
  <sheetFormatPr defaultRowHeight="15"/>
  <cols>
    <col min="1" max="1" width="14" bestFit="1" customWidth="1"/>
    <col min="2" max="2" width="16.42578125" bestFit="1" customWidth="1"/>
    <col min="3" max="3" width="17.7109375" bestFit="1" customWidth="1"/>
  </cols>
  <sheetData>
    <row r="3" spans="1:3">
      <c r="A3" s="6" t="s">
        <v>0</v>
      </c>
      <c r="B3" t="s">
        <v>1</v>
      </c>
      <c r="C3" t="s">
        <v>2</v>
      </c>
    </row>
    <row r="4" spans="1:3">
      <c r="A4" t="s">
        <v>3</v>
      </c>
      <c r="B4" s="7">
        <v>1850</v>
      </c>
      <c r="C4" s="7">
        <v>1080</v>
      </c>
    </row>
    <row r="5" spans="1:3">
      <c r="A5" t="s">
        <v>4</v>
      </c>
      <c r="B5" s="7">
        <v>6400</v>
      </c>
      <c r="C5" s="7">
        <v>2100</v>
      </c>
    </row>
    <row r="6" spans="1:3">
      <c r="A6" t="s">
        <v>5</v>
      </c>
      <c r="B6" s="7">
        <v>2250</v>
      </c>
      <c r="C6" s="7">
        <v>550</v>
      </c>
    </row>
    <row r="7" spans="1:3">
      <c r="A7" t="s">
        <v>6</v>
      </c>
      <c r="B7" s="7">
        <v>650</v>
      </c>
      <c r="C7" s="7">
        <v>260</v>
      </c>
    </row>
    <row r="8" spans="1:3">
      <c r="A8" t="s">
        <v>7</v>
      </c>
      <c r="B8" s="7">
        <v>11150</v>
      </c>
      <c r="C8" s="7">
        <v>3990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5D2F3-655F-4D05-A70E-406EC652A91C}">
  <dimension ref="A3:B7"/>
  <sheetViews>
    <sheetView workbookViewId="0">
      <selection activeCell="M7" sqref="M7"/>
    </sheetView>
  </sheetViews>
  <sheetFormatPr defaultRowHeight="15"/>
  <cols>
    <col min="1" max="1" width="21.7109375" bestFit="1" customWidth="1"/>
    <col min="2" max="2" width="29.5703125" bestFit="1" customWidth="1"/>
  </cols>
  <sheetData>
    <row r="3" spans="1:2">
      <c r="A3" s="6" t="s">
        <v>8</v>
      </c>
      <c r="B3" t="s">
        <v>9</v>
      </c>
    </row>
    <row r="4" spans="1:2">
      <c r="A4" t="s">
        <v>10</v>
      </c>
      <c r="B4" s="7">
        <v>0.35307017543859653</v>
      </c>
    </row>
    <row r="5" spans="1:2">
      <c r="A5" t="s">
        <v>11</v>
      </c>
      <c r="B5" s="7">
        <v>0.32447817836812143</v>
      </c>
    </row>
    <row r="6" spans="1:2">
      <c r="A6" t="s">
        <v>12</v>
      </c>
      <c r="B6" s="7">
        <v>0.51666666666666661</v>
      </c>
    </row>
    <row r="7" spans="1:2">
      <c r="A7" t="s">
        <v>7</v>
      </c>
      <c r="B7" s="7">
        <v>0.41279037251572959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workbookViewId="0">
      <pane xSplit="1" topLeftCell="B1" activePane="topRight" state="frozen"/>
      <selection pane="topRight" sqref="A1:K11"/>
    </sheetView>
  </sheetViews>
  <sheetFormatPr defaultRowHeight="15"/>
  <cols>
    <col min="1" max="1" width="9.42578125" customWidth="1"/>
    <col min="2" max="2" width="11.42578125" bestFit="1" customWidth="1"/>
    <col min="3" max="3" width="13.140625" customWidth="1"/>
    <col min="4" max="4" width="10" customWidth="1"/>
    <col min="7" max="7" width="17.85546875" customWidth="1"/>
    <col min="8" max="8" width="20.5703125" bestFit="1" customWidth="1"/>
    <col min="10" max="10" width="15.85546875" customWidth="1"/>
    <col min="11" max="11" width="16.5703125" customWidth="1"/>
  </cols>
  <sheetData>
    <row r="1" spans="1:11" ht="30" customHeight="1">
      <c r="A1" s="2" t="s">
        <v>13</v>
      </c>
      <c r="B1" s="3" t="s">
        <v>14</v>
      </c>
      <c r="C1" s="3" t="s">
        <v>15</v>
      </c>
      <c r="D1" s="3" t="s">
        <v>0</v>
      </c>
      <c r="E1" s="3" t="s">
        <v>16</v>
      </c>
      <c r="F1" s="3" t="s">
        <v>17</v>
      </c>
      <c r="G1" s="5" t="s">
        <v>8</v>
      </c>
      <c r="H1" s="3" t="s">
        <v>18</v>
      </c>
      <c r="I1" s="3" t="s">
        <v>19</v>
      </c>
      <c r="J1" s="3" t="s">
        <v>20</v>
      </c>
      <c r="K1" s="3" t="s">
        <v>21</v>
      </c>
    </row>
    <row r="2" spans="1:11">
      <c r="A2" t="s">
        <v>22</v>
      </c>
      <c r="B2" s="1">
        <v>46027</v>
      </c>
      <c r="C2" t="s">
        <v>23</v>
      </c>
      <c r="D2" t="s">
        <v>4</v>
      </c>
      <c r="E2">
        <v>1200</v>
      </c>
      <c r="F2">
        <v>800</v>
      </c>
      <c r="G2" t="s">
        <v>10</v>
      </c>
      <c r="H2" t="s">
        <v>24</v>
      </c>
      <c r="I2">
        <f>E2-F2</f>
        <v>400</v>
      </c>
      <c r="J2">
        <f>I2/E2</f>
        <v>0.33333333333333331</v>
      </c>
      <c r="K2" s="4" t="str">
        <f>TEXT(B2, "mmm")</f>
        <v>janv</v>
      </c>
    </row>
    <row r="3" spans="1:11">
      <c r="A3" t="s">
        <v>25</v>
      </c>
      <c r="B3" s="1">
        <v>46029</v>
      </c>
      <c r="C3" t="s">
        <v>26</v>
      </c>
      <c r="D3" t="s">
        <v>3</v>
      </c>
      <c r="E3">
        <v>300</v>
      </c>
      <c r="F3">
        <v>120</v>
      </c>
      <c r="G3" t="s">
        <v>12</v>
      </c>
      <c r="H3" t="s">
        <v>27</v>
      </c>
      <c r="I3">
        <f t="shared" ref="I3:I11" si="0">E3-F3</f>
        <v>180</v>
      </c>
      <c r="J3">
        <f t="shared" ref="J3:J11" si="1">I3/E3</f>
        <v>0.6</v>
      </c>
      <c r="K3" s="4" t="str">
        <f t="shared" ref="K3:K11" si="2">TEXT(B3, "mmm")</f>
        <v>janv</v>
      </c>
    </row>
    <row r="4" spans="1:11">
      <c r="A4" t="s">
        <v>28</v>
      </c>
      <c r="B4" s="1">
        <v>46034</v>
      </c>
      <c r="C4" t="s">
        <v>29</v>
      </c>
      <c r="D4" t="s">
        <v>6</v>
      </c>
      <c r="E4">
        <v>450</v>
      </c>
      <c r="F4">
        <v>300</v>
      </c>
      <c r="G4" t="s">
        <v>12</v>
      </c>
      <c r="H4" t="s">
        <v>24</v>
      </c>
      <c r="I4">
        <f t="shared" si="0"/>
        <v>150</v>
      </c>
      <c r="J4">
        <f t="shared" si="1"/>
        <v>0.33333333333333331</v>
      </c>
      <c r="K4" s="4" t="str">
        <f t="shared" si="2"/>
        <v>janv</v>
      </c>
    </row>
    <row r="5" spans="1:11">
      <c r="A5" t="s">
        <v>30</v>
      </c>
      <c r="B5" s="1">
        <v>46037</v>
      </c>
      <c r="C5" t="s">
        <v>26</v>
      </c>
      <c r="D5" t="s">
        <v>4</v>
      </c>
      <c r="E5">
        <v>2100</v>
      </c>
      <c r="F5">
        <v>1500</v>
      </c>
      <c r="G5" t="s">
        <v>10</v>
      </c>
      <c r="H5" t="s">
        <v>31</v>
      </c>
      <c r="I5">
        <f t="shared" si="0"/>
        <v>600</v>
      </c>
      <c r="J5">
        <f t="shared" si="1"/>
        <v>0.2857142857142857</v>
      </c>
      <c r="K5" s="4" t="str">
        <f t="shared" si="2"/>
        <v>janv</v>
      </c>
    </row>
    <row r="6" spans="1:11">
      <c r="A6" t="s">
        <v>32</v>
      </c>
      <c r="B6" s="1">
        <v>46054</v>
      </c>
      <c r="C6" t="s">
        <v>23</v>
      </c>
      <c r="D6" t="s">
        <v>5</v>
      </c>
      <c r="E6">
        <v>850</v>
      </c>
      <c r="F6">
        <v>600</v>
      </c>
      <c r="G6" t="s">
        <v>11</v>
      </c>
      <c r="H6" t="s">
        <v>27</v>
      </c>
      <c r="I6">
        <f t="shared" si="0"/>
        <v>250</v>
      </c>
      <c r="J6">
        <f t="shared" si="1"/>
        <v>0.29411764705882354</v>
      </c>
      <c r="K6" s="4" t="str">
        <f t="shared" si="2"/>
        <v>févr</v>
      </c>
    </row>
    <row r="7" spans="1:11">
      <c r="A7" t="s">
        <v>33</v>
      </c>
      <c r="B7" s="1">
        <v>46063</v>
      </c>
      <c r="C7" t="s">
        <v>29</v>
      </c>
      <c r="D7" t="s">
        <v>3</v>
      </c>
      <c r="E7">
        <v>600</v>
      </c>
      <c r="F7">
        <v>250</v>
      </c>
      <c r="G7" t="s">
        <v>34</v>
      </c>
      <c r="H7" t="s">
        <v>27</v>
      </c>
      <c r="I7">
        <f t="shared" si="0"/>
        <v>350</v>
      </c>
      <c r="J7">
        <f t="shared" si="1"/>
        <v>0.58333333333333337</v>
      </c>
      <c r="K7" s="4" t="str">
        <f t="shared" si="2"/>
        <v>févr</v>
      </c>
    </row>
    <row r="8" spans="1:11">
      <c r="A8" t="s">
        <v>35</v>
      </c>
      <c r="B8" s="1">
        <v>46067</v>
      </c>
      <c r="C8" t="s">
        <v>26</v>
      </c>
      <c r="D8" t="s">
        <v>5</v>
      </c>
      <c r="E8">
        <v>1400</v>
      </c>
      <c r="F8">
        <v>1100</v>
      </c>
      <c r="G8" t="s">
        <v>10</v>
      </c>
      <c r="H8" t="s">
        <v>24</v>
      </c>
      <c r="I8">
        <f t="shared" si="0"/>
        <v>300</v>
      </c>
      <c r="J8">
        <f t="shared" si="1"/>
        <v>0.21428571428571427</v>
      </c>
      <c r="K8" s="4" t="str">
        <f t="shared" si="2"/>
        <v>févr</v>
      </c>
    </row>
    <row r="9" spans="1:11">
      <c r="A9" t="s">
        <v>36</v>
      </c>
      <c r="B9" s="1">
        <v>46073</v>
      </c>
      <c r="C9" t="s">
        <v>23</v>
      </c>
      <c r="D9" t="s">
        <v>4</v>
      </c>
      <c r="E9">
        <v>3100</v>
      </c>
      <c r="F9">
        <v>2000</v>
      </c>
      <c r="G9" t="s">
        <v>11</v>
      </c>
      <c r="H9" t="s">
        <v>31</v>
      </c>
      <c r="I9">
        <f t="shared" si="0"/>
        <v>1100</v>
      </c>
      <c r="J9">
        <f t="shared" si="1"/>
        <v>0.35483870967741937</v>
      </c>
      <c r="K9" s="4" t="str">
        <f t="shared" si="2"/>
        <v>févr</v>
      </c>
    </row>
    <row r="10" spans="1:11">
      <c r="A10" t="s">
        <v>37</v>
      </c>
      <c r="B10" s="1">
        <v>46083</v>
      </c>
      <c r="C10" t="s">
        <v>29</v>
      </c>
      <c r="D10" t="s">
        <v>6</v>
      </c>
      <c r="E10">
        <v>200</v>
      </c>
      <c r="F10">
        <v>90</v>
      </c>
      <c r="G10" t="s">
        <v>12</v>
      </c>
      <c r="H10" t="s">
        <v>27</v>
      </c>
      <c r="I10">
        <f t="shared" si="0"/>
        <v>110</v>
      </c>
      <c r="J10">
        <f t="shared" si="1"/>
        <v>0.55000000000000004</v>
      </c>
      <c r="K10" s="4" t="str">
        <f t="shared" si="2"/>
        <v>mars</v>
      </c>
    </row>
    <row r="11" spans="1:11">
      <c r="A11" t="s">
        <v>38</v>
      </c>
      <c r="B11" s="1">
        <v>46092</v>
      </c>
      <c r="C11" t="s">
        <v>26</v>
      </c>
      <c r="D11" t="s">
        <v>3</v>
      </c>
      <c r="E11">
        <v>950</v>
      </c>
      <c r="F11">
        <v>400</v>
      </c>
      <c r="G11" t="s">
        <v>10</v>
      </c>
      <c r="H11" t="s">
        <v>27</v>
      </c>
      <c r="I11">
        <f t="shared" si="0"/>
        <v>550</v>
      </c>
      <c r="J11">
        <f t="shared" si="1"/>
        <v>0.57894736842105265</v>
      </c>
      <c r="K11" s="4" t="str">
        <f t="shared" si="2"/>
        <v>mars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FAE55-4D13-4A86-9CA5-127411D394AD}">
  <dimension ref="B2"/>
  <sheetViews>
    <sheetView tabSelected="1" workbookViewId="0">
      <selection activeCell="K1" sqref="K1:K1048576"/>
    </sheetView>
  </sheetViews>
  <sheetFormatPr defaultRowHeight="15"/>
  <cols>
    <col min="2" max="2" width="27.28515625" customWidth="1"/>
  </cols>
  <sheetData>
    <row r="2" spans="2:2" ht="30.75" customHeight="1">
      <c r="B2" s="8" t="s">
        <v>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2026-09-17T19:44:04Z</dcterms:created>
  <dcterms:modified xsi:type="dcterms:W3CDTF">2026-09-17T21:10:52Z</dcterms:modified>
  <cp:category/>
  <cp:contentStatus/>
</cp:coreProperties>
</file>